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dti\Desktop\West coast swing\"/>
    </mc:Choice>
  </mc:AlternateContent>
  <xr:revisionPtr revIDLastSave="0" documentId="8_{20466359-E13F-4690-8F48-330507C09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tli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9" i="1"/>
  <c r="S17" i="1"/>
  <c r="S2" i="1"/>
  <c r="S5" i="1"/>
  <c r="S22" i="1"/>
  <c r="S21" i="1"/>
  <c r="S23" i="1"/>
  <c r="S11" i="1"/>
  <c r="S6" i="1"/>
  <c r="Q7" i="1"/>
  <c r="Q6" i="1"/>
  <c r="Q11" i="1"/>
  <c r="Q23" i="1"/>
  <c r="Q21" i="1"/>
  <c r="Q22" i="1"/>
  <c r="Q5" i="1"/>
  <c r="Q2" i="1"/>
  <c r="Q17" i="1"/>
  <c r="Q9" i="1"/>
  <c r="Q10" i="1"/>
  <c r="Q16" i="1"/>
  <c r="Q13" i="1"/>
  <c r="Q8" i="1"/>
  <c r="Q12" i="1"/>
  <c r="Q19" i="1"/>
  <c r="Q20" i="1"/>
  <c r="Q15" i="1"/>
  <c r="Q14" i="1"/>
  <c r="Q4" i="1"/>
  <c r="Q18" i="1"/>
  <c r="Q3" i="1"/>
  <c r="R3" i="1"/>
  <c r="R18" i="1"/>
  <c r="S18" i="1" s="1"/>
  <c r="R4" i="1"/>
  <c r="S4" i="1" s="1"/>
  <c r="R14" i="1"/>
  <c r="S14" i="1" s="1"/>
  <c r="R15" i="1"/>
  <c r="S15" i="1" s="1"/>
  <c r="R20" i="1"/>
  <c r="S20" i="1" s="1"/>
  <c r="R19" i="1"/>
  <c r="S19" i="1" s="1"/>
  <c r="R12" i="1"/>
  <c r="S12" i="1" s="1"/>
  <c r="R8" i="1"/>
  <c r="S8" i="1" s="1"/>
  <c r="R13" i="1"/>
  <c r="S13" i="1" s="1"/>
  <c r="R16" i="1"/>
  <c r="S16" i="1" s="1"/>
  <c r="R10" i="1"/>
  <c r="S10" i="1" s="1"/>
  <c r="R9" i="1"/>
  <c r="R17" i="1"/>
  <c r="R2" i="1"/>
  <c r="R5" i="1"/>
  <c r="R22" i="1"/>
  <c r="R21" i="1"/>
  <c r="R23" i="1"/>
  <c r="R11" i="1"/>
  <c r="R6" i="1"/>
  <c r="R7" i="1"/>
  <c r="S7" i="1" s="1"/>
</calcChain>
</file>

<file path=xl/sharedStrings.xml><?xml version="1.0" encoding="utf-8"?>
<sst xmlns="http://schemas.openxmlformats.org/spreadsheetml/2006/main" count="241" uniqueCount="113">
  <si>
    <t>Plats</t>
  </si>
  <si>
    <t>Namn</t>
  </si>
  <si>
    <t>Klubbnamn</t>
  </si>
  <si>
    <t>Spelarstatus</t>
  </si>
  <si>
    <t>SHCP</t>
  </si>
  <si>
    <t>Resultat</t>
  </si>
  <si>
    <t>Sär</t>
  </si>
  <si>
    <t>1</t>
  </si>
  <si>
    <t>Jonas  Svensson</t>
  </si>
  <si>
    <t>Marks Golfklubb</t>
  </si>
  <si>
    <t>NA</t>
  </si>
  <si>
    <t>0</t>
  </si>
  <si>
    <t>73</t>
  </si>
  <si>
    <t>2</t>
  </si>
  <si>
    <t>Daniel  Knutsson</t>
  </si>
  <si>
    <t>3</t>
  </si>
  <si>
    <t>George  Cojocaru</t>
  </si>
  <si>
    <t>Köpings Golfklubb</t>
  </si>
  <si>
    <t>Amatör</t>
  </si>
  <si>
    <t>80</t>
  </si>
  <si>
    <t>4</t>
  </si>
  <si>
    <t>Anders  Banemark</t>
  </si>
  <si>
    <t>Vadstena Golfklubb</t>
  </si>
  <si>
    <t>82</t>
  </si>
  <si>
    <t>5</t>
  </si>
  <si>
    <t>Magnus  Svärdh</t>
  </si>
  <si>
    <t>Borås Golfklubb</t>
  </si>
  <si>
    <t>84</t>
  </si>
  <si>
    <t>Pär  Svensson</t>
  </si>
  <si>
    <t>Mjölby Golfklubb</t>
  </si>
  <si>
    <t>85</t>
  </si>
  <si>
    <t>S9</t>
  </si>
  <si>
    <t>Jerry  Hultquist</t>
  </si>
  <si>
    <t>Falkenbergs Golfklubb</t>
  </si>
  <si>
    <t>Stefan  Blixt</t>
  </si>
  <si>
    <t>Ombergs Golf Resort</t>
  </si>
  <si>
    <t>86</t>
  </si>
  <si>
    <t>S6</t>
  </si>
  <si>
    <t>Harald  Knutsson</t>
  </si>
  <si>
    <t>Peter  Beurling</t>
  </si>
  <si>
    <t>89</t>
  </si>
  <si>
    <t>Mattias  Andersson</t>
  </si>
  <si>
    <t>12</t>
  </si>
  <si>
    <t>Patrick  Sheerin</t>
  </si>
  <si>
    <t>91</t>
  </si>
  <si>
    <t>Thomas  Brorson</t>
  </si>
  <si>
    <t>Lysegårdens Golfklubb</t>
  </si>
  <si>
    <t>92</t>
  </si>
  <si>
    <t>Ulf  Svensson</t>
  </si>
  <si>
    <t>15</t>
  </si>
  <si>
    <t>Klas  Johansson</t>
  </si>
  <si>
    <t>93</t>
  </si>
  <si>
    <t>16</t>
  </si>
  <si>
    <t>Christer  Bergström</t>
  </si>
  <si>
    <t>Vallda Golf &amp; Country Club</t>
  </si>
  <si>
    <t>94</t>
  </si>
  <si>
    <t>17</t>
  </si>
  <si>
    <t>Sune  Heimdahl</t>
  </si>
  <si>
    <t>99</t>
  </si>
  <si>
    <t>18</t>
  </si>
  <si>
    <t>Svante  Hansson</t>
  </si>
  <si>
    <t>108</t>
  </si>
  <si>
    <t>19</t>
  </si>
  <si>
    <t>Susanne  Hansson</t>
  </si>
  <si>
    <t>110</t>
  </si>
  <si>
    <t>20</t>
  </si>
  <si>
    <t>Eva  Hederdahl</t>
  </si>
  <si>
    <t>Bredareds Golfklubb</t>
  </si>
  <si>
    <t>112</t>
  </si>
  <si>
    <t>21</t>
  </si>
  <si>
    <t>Per-Olof  Karlsson</t>
  </si>
  <si>
    <t>Hulta-Bollebygd Golfklubb</t>
  </si>
  <si>
    <t>114</t>
  </si>
  <si>
    <t>22</t>
  </si>
  <si>
    <t>Thomas  Eriksson</t>
  </si>
  <si>
    <t>Bro-Bålsta Golfklubb</t>
  </si>
  <si>
    <t>130</t>
  </si>
  <si>
    <t>6</t>
  </si>
  <si>
    <t>7</t>
  </si>
  <si>
    <t>8</t>
  </si>
  <si>
    <t>9</t>
  </si>
  <si>
    <t>10</t>
  </si>
  <si>
    <t>11</t>
  </si>
  <si>
    <t>13</t>
  </si>
  <si>
    <t>14</t>
  </si>
  <si>
    <t>Brutto</t>
  </si>
  <si>
    <t>HHCP</t>
  </si>
  <si>
    <t>HCP</t>
  </si>
  <si>
    <t>Spelarkategori</t>
  </si>
  <si>
    <t>Tee</t>
  </si>
  <si>
    <t>Harald Knutsson</t>
  </si>
  <si>
    <t>Ulf Svensson</t>
  </si>
  <si>
    <t>Peter Beurling</t>
  </si>
  <si>
    <t>Stefan Blixt</t>
  </si>
  <si>
    <t>Klas Johansson</t>
  </si>
  <si>
    <t>Christer Bergström</t>
  </si>
  <si>
    <t>Thomas Brorson</t>
  </si>
  <si>
    <t>Jonas Svensson</t>
  </si>
  <si>
    <t>Anders Banemark</t>
  </si>
  <si>
    <t>Daniel Knutsson</t>
  </si>
  <si>
    <t>Jerry Hultquist</t>
  </si>
  <si>
    <t>Magnus Svärdh</t>
  </si>
  <si>
    <t>Pär Svensson</t>
  </si>
  <si>
    <t>Mattias Andersson</t>
  </si>
  <si>
    <t>Eva Hederdahl</t>
  </si>
  <si>
    <t>George Cojocaru</t>
  </si>
  <si>
    <t>Svante Hansson</t>
  </si>
  <si>
    <t>Susanne Hansson</t>
  </si>
  <si>
    <t>Thomas Eriksson</t>
  </si>
  <si>
    <t>Patrick Sheerin</t>
  </si>
  <si>
    <t>Sune Heimdahl</t>
  </si>
  <si>
    <t>Per-Olof Karlsson</t>
  </si>
  <si>
    <t xml:space="preserve">Netto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</si>
</sst>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rgb="FFB4B4B4"/>
      </top>
      <bottom style="thin">
        <color auto="1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0.0"/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rgb="FFB4B4B4"/>
        </top>
        <bottom style="thin">
          <color rgb="FFB4B4B4"/>
        </bottom>
        <vertical/>
        <horizontal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0C8B1-A5DF-428A-8B91-4B11E63870D7}" name="Tabell_brutto" displayName="Tabell_brutto" ref="A1:H23" totalsRowShown="0" headerRowDxfId="3">
  <autoFilter ref="A1:H23" xr:uid="{3880C8B1-A5DF-428A-8B91-4B11E63870D7}"/>
  <tableColumns count="8">
    <tableColumn id="1" xr3:uid="{BE9F9881-75D7-4840-9113-4C80B05F1B7F}" name="Plats" dataDxfId="2"/>
    <tableColumn id="2" xr3:uid="{D9C4AECC-3F76-4258-86E5-22D2D3FE0FB1}" name="Namn"/>
    <tableColumn id="3" xr3:uid="{F26E0BEB-3206-4BB8-9A23-1471BD982CC0}" name="Klubbnamn"/>
    <tableColumn id="4" xr3:uid="{1C12DA4E-4F21-409D-B856-1BB785FD19CC}" name="Spelarstatus"/>
    <tableColumn id="5" xr3:uid="{B4469A84-5ACC-431C-A017-56A410725776}" name="HHCP"/>
    <tableColumn id="8" xr3:uid="{D901E3A9-874A-45E4-9F19-CE55621AF23C}" name="Resultat"/>
    <tableColumn id="9" xr3:uid="{A05584A8-AA57-4EFF-A85D-B54F84FA13B4}" name="Brutto"/>
    <tableColumn id="10" xr3:uid="{0520F3D7-9CB6-4042-83CE-7DE0AF349986}" name="Sä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2DDB6-A4AA-4CCB-9E61-64EDD26BAAB5}" name="Tabell_netto" displayName="Tabell_netto" ref="K1:S23" totalsRowShown="0">
  <autoFilter ref="K1:S23" xr:uid="{B7A2DDB6-A4AA-4CCB-9E61-64EDD26BAAB5}"/>
  <sortState xmlns:xlrd2="http://schemas.microsoft.com/office/spreadsheetml/2017/richdata2" ref="K2:S23">
    <sortCondition ref="S1:S23"/>
  </sortState>
  <tableColumns count="9">
    <tableColumn id="1" xr3:uid="{A46CB8AA-C947-43F2-ABF6-97E661AAB63D}" name="Namn"/>
    <tableColumn id="2" xr3:uid="{AFBC5BB2-86D5-41FE-AAC2-354BD23E92AE}" name="Klubbnamn"/>
    <tableColumn id="4" xr3:uid="{0AFCB31D-A765-409C-94BB-E5FF8E7C0DBE}" name="HCP"/>
    <tableColumn id="5" xr3:uid="{C4B18162-07DB-4F1B-BAEE-30946BE20A40}" name="SHCP"/>
    <tableColumn id="6" xr3:uid="{C6C6AF40-942F-45D2-B892-1122C6C01274}" name="Spelarkategori"/>
    <tableColumn id="7" xr3:uid="{CD708C8B-4687-4654-86AC-907506206E13}" name="Tee"/>
    <tableColumn id="8" xr3:uid="{A9C6826E-0720-45E4-8688-FFE88AA2B4FF}" name="HHCP" dataDxfId="1">
      <calculatedColumnFormula>IF(N2&gt;=0,ROUND(N2*1.4,1),ROUND(N2/1.4,1))</calculatedColumnFormula>
    </tableColumn>
    <tableColumn id="9" xr3:uid="{D4F9BEE9-C124-4026-8767-4B19D1484A35}" name="Resultat">
      <calculatedColumnFormula>_xlfn.XLOOKUP(SUBSTITUTE(Tabell_netto[[#This Row],[Namn]]," ","  "),Tabell_brutto[Namn],Tabell_brutto[Resultat],"")</calculatedColumnFormula>
    </tableColumn>
    <tableColumn id="10" xr3:uid="{14F1915A-20E5-483C-B11C-CF77CD6E6D11}" name="Netto " dataDxfId="0">
      <calculatedColumnFormula>Tabell_netto[[#This Row],[Resultat]]-Tabell_netto[[#This Row],[HHCP]]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C30" sqref="C30"/>
    </sheetView>
  </sheetViews>
  <sheetFormatPr defaultRowHeight="15" x14ac:dyDescent="0.25"/>
  <cols>
    <col min="1" max="1" width="7.42578125" customWidth="1"/>
    <col min="2" max="2" width="18.42578125" customWidth="1"/>
    <col min="3" max="3" width="24.7109375" customWidth="1"/>
    <col min="4" max="4" width="14" customWidth="1"/>
    <col min="5" max="5" width="10.7109375" customWidth="1"/>
    <col min="6" max="6" width="10.42578125" customWidth="1"/>
    <col min="7" max="7" width="11.5703125" customWidth="1"/>
    <col min="8" max="8" width="5.85546875" customWidth="1"/>
    <col min="11" max="11" width="17.85546875" bestFit="1" customWidth="1"/>
    <col min="12" max="12" width="24.85546875" bestFit="1" customWidth="1"/>
    <col min="15" max="15" width="16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  <c r="G1" s="1" t="s">
        <v>85</v>
      </c>
      <c r="H1" s="1" t="s">
        <v>6</v>
      </c>
      <c r="K1" t="s">
        <v>1</v>
      </c>
      <c r="L1" t="s">
        <v>2</v>
      </c>
      <c r="M1" t="s">
        <v>87</v>
      </c>
      <c r="N1" t="s">
        <v>4</v>
      </c>
      <c r="O1" t="s">
        <v>88</v>
      </c>
      <c r="P1" t="s">
        <v>89</v>
      </c>
      <c r="Q1" t="s">
        <v>86</v>
      </c>
      <c r="R1" t="s">
        <v>5</v>
      </c>
      <c r="S1" t="s">
        <v>112</v>
      </c>
    </row>
    <row r="2" spans="1:19" x14ac:dyDescent="0.25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K2" t="s">
        <v>104</v>
      </c>
      <c r="L2" t="s">
        <v>67</v>
      </c>
      <c r="M2">
        <v>27.9</v>
      </c>
      <c r="N2">
        <v>33</v>
      </c>
      <c r="O2" t="s">
        <v>18</v>
      </c>
      <c r="P2">
        <v>42</v>
      </c>
      <c r="Q2" s="3">
        <f>IF(N2&gt;=0,ROUND(N2*1.4,1),ROUND(N2/1.4,1))</f>
        <v>46.2</v>
      </c>
      <c r="R2" t="str">
        <f>_xlfn.XLOOKUP(SUBSTITUTE(Tabell_netto[[#This Row],[Namn]]," ","  "),Tabell_brutto[Namn],Tabell_brutto[Resultat],"")</f>
        <v>112</v>
      </c>
      <c r="S2" s="5">
        <f>Tabell_netto[[#This Row],[Resultat]]-Tabell_netto[[#This Row],[HHCP]]</f>
        <v>65.8</v>
      </c>
    </row>
    <row r="3" spans="1:19" x14ac:dyDescent="0.25">
      <c r="A3" s="2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K3" t="s">
        <v>90</v>
      </c>
      <c r="L3" t="s">
        <v>9</v>
      </c>
      <c r="M3">
        <v>14.4</v>
      </c>
      <c r="N3">
        <v>13</v>
      </c>
      <c r="O3" t="s">
        <v>18</v>
      </c>
      <c r="P3">
        <v>45</v>
      </c>
      <c r="Q3" s="3">
        <f>IF(N3&gt;=0,ROUND(N3*1.4,1),ROUND(N3/1.4,1))</f>
        <v>18.2</v>
      </c>
      <c r="R3" t="str">
        <f>_xlfn.XLOOKUP(SUBSTITUTE(Tabell_netto[[#This Row],[Namn]]," ","  "),Tabell_brutto[Namn],Tabell_brutto[Resultat],"")</f>
        <v>86</v>
      </c>
      <c r="S3" s="5">
        <f>Tabell_netto[[#This Row],[Resultat]]-Tabell_netto[[#This Row],[HHCP]]</f>
        <v>67.8</v>
      </c>
    </row>
    <row r="4" spans="1:19" x14ac:dyDescent="0.25">
      <c r="A4" s="2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19</v>
      </c>
      <c r="G4" t="s">
        <v>19</v>
      </c>
      <c r="K4" t="s">
        <v>92</v>
      </c>
      <c r="L4" t="s">
        <v>35</v>
      </c>
      <c r="M4">
        <v>15.8</v>
      </c>
      <c r="N4">
        <v>15</v>
      </c>
      <c r="O4" t="s">
        <v>18</v>
      </c>
      <c r="P4">
        <v>45</v>
      </c>
      <c r="Q4" s="3">
        <f>IF(N4&gt;=0,ROUND(N4*1.4,1),ROUND(N4/1.4,1))</f>
        <v>21</v>
      </c>
      <c r="R4" t="str">
        <f>_xlfn.XLOOKUP(SUBSTITUTE(Tabell_netto[[#This Row],[Namn]]," ","  "),Tabell_brutto[Namn],Tabell_brutto[Resultat],"")</f>
        <v>89</v>
      </c>
      <c r="S4" s="5">
        <f>Tabell_netto[[#This Row],[Resultat]]-Tabell_netto[[#This Row],[HHCP]]</f>
        <v>68</v>
      </c>
    </row>
    <row r="5" spans="1:19" x14ac:dyDescent="0.25">
      <c r="A5" s="2" t="s">
        <v>20</v>
      </c>
      <c r="B5" t="s">
        <v>21</v>
      </c>
      <c r="C5" t="s">
        <v>22</v>
      </c>
      <c r="D5" t="s">
        <v>18</v>
      </c>
      <c r="E5" t="s">
        <v>11</v>
      </c>
      <c r="F5" t="s">
        <v>23</v>
      </c>
      <c r="G5" t="s">
        <v>23</v>
      </c>
      <c r="K5" t="s">
        <v>105</v>
      </c>
      <c r="L5" t="s">
        <v>17</v>
      </c>
      <c r="M5">
        <v>7.9</v>
      </c>
      <c r="N5">
        <v>6</v>
      </c>
      <c r="O5" t="s">
        <v>18</v>
      </c>
      <c r="P5">
        <v>45</v>
      </c>
      <c r="Q5" s="3">
        <f>IF(N5&gt;=0,ROUND(N5*1.4,1),ROUND(N5/1.4,1))</f>
        <v>8.4</v>
      </c>
      <c r="R5" t="str">
        <f>_xlfn.XLOOKUP(SUBSTITUTE(Tabell_netto[[#This Row],[Namn]]," ","  "),Tabell_brutto[Namn],Tabell_brutto[Resultat],"")</f>
        <v>80</v>
      </c>
      <c r="S5" s="5">
        <f>Tabell_netto[[#This Row],[Resultat]]-Tabell_netto[[#This Row],[HHCP]]</f>
        <v>71.599999999999994</v>
      </c>
    </row>
    <row r="6" spans="1:19" x14ac:dyDescent="0.25">
      <c r="A6" s="2" t="s">
        <v>24</v>
      </c>
      <c r="B6" t="s">
        <v>25</v>
      </c>
      <c r="C6" t="s">
        <v>26</v>
      </c>
      <c r="D6" t="s">
        <v>18</v>
      </c>
      <c r="E6" t="s">
        <v>11</v>
      </c>
      <c r="F6" t="s">
        <v>27</v>
      </c>
      <c r="G6" t="s">
        <v>27</v>
      </c>
      <c r="K6" t="s">
        <v>110</v>
      </c>
      <c r="L6" t="s">
        <v>22</v>
      </c>
      <c r="M6">
        <v>19.399999999999999</v>
      </c>
      <c r="N6">
        <v>19</v>
      </c>
      <c r="O6" t="s">
        <v>18</v>
      </c>
      <c r="P6">
        <v>45</v>
      </c>
      <c r="Q6" s="3">
        <f>IF(N6&gt;=0,ROUND(N6*1.4,1),ROUND(N6/1.4,1))</f>
        <v>26.6</v>
      </c>
      <c r="R6" t="str">
        <f>_xlfn.XLOOKUP(SUBSTITUTE(Tabell_netto[[#This Row],[Namn]]," ","  "),Tabell_brutto[Namn],Tabell_brutto[Resultat],"")</f>
        <v>99</v>
      </c>
      <c r="S6" s="5">
        <f>Tabell_netto[[#This Row],[Resultat]]-Tabell_netto[[#This Row],[HHCP]]</f>
        <v>72.400000000000006</v>
      </c>
    </row>
    <row r="7" spans="1:19" x14ac:dyDescent="0.25">
      <c r="A7" s="2" t="s">
        <v>77</v>
      </c>
      <c r="B7" t="s">
        <v>28</v>
      </c>
      <c r="C7" t="s">
        <v>29</v>
      </c>
      <c r="D7" t="s">
        <v>18</v>
      </c>
      <c r="E7" t="s">
        <v>11</v>
      </c>
      <c r="F7" t="s">
        <v>30</v>
      </c>
      <c r="G7" t="s">
        <v>30</v>
      </c>
      <c r="H7" t="s">
        <v>31</v>
      </c>
      <c r="K7" t="s">
        <v>111</v>
      </c>
      <c r="L7" t="s">
        <v>71</v>
      </c>
      <c r="M7">
        <v>27.8</v>
      </c>
      <c r="N7">
        <v>29</v>
      </c>
      <c r="O7" t="s">
        <v>18</v>
      </c>
      <c r="P7">
        <v>45</v>
      </c>
      <c r="Q7" s="3">
        <f>IF(N7&gt;=0,ROUND(N7*1.4,1),ROUND(N7/1.4,1))</f>
        <v>40.6</v>
      </c>
      <c r="R7" t="str">
        <f>_xlfn.XLOOKUP(SUBSTITUTE(Tabell_netto[[#This Row],[Namn]]," ","  "),Tabell_brutto[Namn],Tabell_brutto[Resultat],"")</f>
        <v>114</v>
      </c>
      <c r="S7" s="5">
        <f>Tabell_netto[[#This Row],[Resultat]]-Tabell_netto[[#This Row],[HHCP]]</f>
        <v>73.400000000000006</v>
      </c>
    </row>
    <row r="8" spans="1:19" x14ac:dyDescent="0.25">
      <c r="A8" s="2" t="s">
        <v>78</v>
      </c>
      <c r="B8" t="s">
        <v>32</v>
      </c>
      <c r="C8" t="s">
        <v>33</v>
      </c>
      <c r="D8" t="s">
        <v>18</v>
      </c>
      <c r="E8" t="s">
        <v>11</v>
      </c>
      <c r="F8" t="s">
        <v>30</v>
      </c>
      <c r="G8" t="s">
        <v>30</v>
      </c>
      <c r="K8" t="s">
        <v>98</v>
      </c>
      <c r="L8" t="s">
        <v>22</v>
      </c>
      <c r="M8">
        <v>8.4</v>
      </c>
      <c r="N8">
        <v>6</v>
      </c>
      <c r="O8" t="s">
        <v>18</v>
      </c>
      <c r="P8">
        <v>45</v>
      </c>
      <c r="Q8" s="3">
        <f>IF(N8&gt;=0,ROUND(N8*1.4,1),ROUND(N8/1.4,1))</f>
        <v>8.4</v>
      </c>
      <c r="R8" t="str">
        <f>_xlfn.XLOOKUP(SUBSTITUTE(Tabell_netto[[#This Row],[Namn]]," ","  "),Tabell_brutto[Namn],Tabell_brutto[Resultat],"")</f>
        <v>82</v>
      </c>
      <c r="S8" s="5">
        <f>Tabell_netto[[#This Row],[Resultat]]-Tabell_netto[[#This Row],[HHCP]]</f>
        <v>73.599999999999994</v>
      </c>
    </row>
    <row r="9" spans="1:19" x14ac:dyDescent="0.25">
      <c r="A9" s="2" t="s">
        <v>79</v>
      </c>
      <c r="B9" t="s">
        <v>34</v>
      </c>
      <c r="C9" t="s">
        <v>35</v>
      </c>
      <c r="D9" t="s">
        <v>18</v>
      </c>
      <c r="E9" t="s">
        <v>11</v>
      </c>
      <c r="F9" t="s">
        <v>36</v>
      </c>
      <c r="G9" t="s">
        <v>36</v>
      </c>
      <c r="H9" t="s">
        <v>37</v>
      </c>
      <c r="K9" t="s">
        <v>102</v>
      </c>
      <c r="L9" t="s">
        <v>29</v>
      </c>
      <c r="M9">
        <v>9.9</v>
      </c>
      <c r="N9">
        <v>8</v>
      </c>
      <c r="O9" t="s">
        <v>18</v>
      </c>
      <c r="P9">
        <v>45</v>
      </c>
      <c r="Q9" s="3">
        <f>IF(N9&gt;=0,ROUND(N9*1.4,1),ROUND(N9/1.4,1))</f>
        <v>11.2</v>
      </c>
      <c r="R9" t="str">
        <f>_xlfn.XLOOKUP(SUBSTITUTE(Tabell_netto[[#This Row],[Namn]]," ","  "),Tabell_brutto[Namn],Tabell_brutto[Resultat],"")</f>
        <v>85</v>
      </c>
      <c r="S9" s="5">
        <f>Tabell_netto[[#This Row],[Resultat]]-Tabell_netto[[#This Row],[HHCP]]</f>
        <v>73.8</v>
      </c>
    </row>
    <row r="10" spans="1:19" x14ac:dyDescent="0.25">
      <c r="A10" s="2" t="s">
        <v>80</v>
      </c>
      <c r="B10" t="s">
        <v>38</v>
      </c>
      <c r="C10" t="s">
        <v>9</v>
      </c>
      <c r="D10" t="s">
        <v>18</v>
      </c>
      <c r="E10" t="s">
        <v>11</v>
      </c>
      <c r="F10" t="s">
        <v>36</v>
      </c>
      <c r="G10" t="s">
        <v>36</v>
      </c>
      <c r="K10" t="s">
        <v>101</v>
      </c>
      <c r="L10" t="s">
        <v>26</v>
      </c>
      <c r="M10">
        <v>8.9</v>
      </c>
      <c r="N10">
        <v>7</v>
      </c>
      <c r="O10" t="s">
        <v>18</v>
      </c>
      <c r="P10">
        <v>45</v>
      </c>
      <c r="Q10" s="3">
        <f>IF(N10&gt;=0,ROUND(N10*1.4,1),ROUND(N10/1.4,1))</f>
        <v>9.8000000000000007</v>
      </c>
      <c r="R10" t="str">
        <f>_xlfn.XLOOKUP(SUBSTITUTE(Tabell_netto[[#This Row],[Namn]]," ","  "),Tabell_brutto[Namn],Tabell_brutto[Resultat],"")</f>
        <v>84</v>
      </c>
      <c r="S10" s="5">
        <f>Tabell_netto[[#This Row],[Resultat]]-Tabell_netto[[#This Row],[HHCP]]</f>
        <v>74.2</v>
      </c>
    </row>
    <row r="11" spans="1:19" x14ac:dyDescent="0.25">
      <c r="A11" s="2" t="s">
        <v>81</v>
      </c>
      <c r="B11" t="s">
        <v>39</v>
      </c>
      <c r="C11" t="s">
        <v>35</v>
      </c>
      <c r="D11" t="s">
        <v>18</v>
      </c>
      <c r="E11" t="s">
        <v>11</v>
      </c>
      <c r="F11" t="s">
        <v>40</v>
      </c>
      <c r="G11" t="s">
        <v>40</v>
      </c>
      <c r="H11" t="s">
        <v>37</v>
      </c>
      <c r="K11" t="s">
        <v>109</v>
      </c>
      <c r="L11" t="s">
        <v>9</v>
      </c>
      <c r="M11">
        <v>13.8</v>
      </c>
      <c r="N11">
        <v>12</v>
      </c>
      <c r="O11" t="s">
        <v>18</v>
      </c>
      <c r="P11">
        <v>45</v>
      </c>
      <c r="Q11" s="3">
        <f>IF(N11&gt;=0,ROUND(N11*1.4,1),ROUND(N11/1.4,1))</f>
        <v>16.8</v>
      </c>
      <c r="R11" t="str">
        <f>_xlfn.XLOOKUP(SUBSTITUTE(Tabell_netto[[#This Row],[Namn]]," ","  "),Tabell_brutto[Namn],Tabell_brutto[Resultat],"")</f>
        <v>91</v>
      </c>
      <c r="S11" s="5">
        <f>Tabell_netto[[#This Row],[Resultat]]-Tabell_netto[[#This Row],[HHCP]]</f>
        <v>74.2</v>
      </c>
    </row>
    <row r="12" spans="1:19" x14ac:dyDescent="0.25">
      <c r="A12" s="2" t="s">
        <v>82</v>
      </c>
      <c r="B12" t="s">
        <v>41</v>
      </c>
      <c r="C12" t="s">
        <v>35</v>
      </c>
      <c r="D12" t="s">
        <v>18</v>
      </c>
      <c r="E12" t="s">
        <v>11</v>
      </c>
      <c r="F12" t="s">
        <v>40</v>
      </c>
      <c r="G12" t="s">
        <v>40</v>
      </c>
      <c r="K12" t="s">
        <v>97</v>
      </c>
      <c r="L12" t="s">
        <v>9</v>
      </c>
      <c r="M12">
        <v>1.4</v>
      </c>
      <c r="N12">
        <v>-2</v>
      </c>
      <c r="O12" t="s">
        <v>10</v>
      </c>
      <c r="P12">
        <v>45</v>
      </c>
      <c r="Q12" s="3">
        <f>IF(N12&gt;=0,ROUND(N12*1.4,1),ROUND(N12/1.4,1))</f>
        <v>-1.4</v>
      </c>
      <c r="R12" t="str">
        <f>_xlfn.XLOOKUP(SUBSTITUTE(Tabell_netto[[#This Row],[Namn]]," ","  "),Tabell_brutto[Namn],Tabell_brutto[Resultat],"")</f>
        <v>73</v>
      </c>
      <c r="S12" s="5">
        <f>Tabell_netto[[#This Row],[Resultat]]-Tabell_netto[[#This Row],[HHCP]]</f>
        <v>74.400000000000006</v>
      </c>
    </row>
    <row r="13" spans="1:19" x14ac:dyDescent="0.25">
      <c r="A13" s="2" t="s">
        <v>42</v>
      </c>
      <c r="B13" t="s">
        <v>43</v>
      </c>
      <c r="C13" t="s">
        <v>9</v>
      </c>
      <c r="D13" t="s">
        <v>18</v>
      </c>
      <c r="E13" t="s">
        <v>11</v>
      </c>
      <c r="F13" t="s">
        <v>44</v>
      </c>
      <c r="G13" t="s">
        <v>44</v>
      </c>
      <c r="K13" t="s">
        <v>99</v>
      </c>
      <c r="L13" t="s">
        <v>9</v>
      </c>
      <c r="M13">
        <v>1.6</v>
      </c>
      <c r="N13">
        <v>-2</v>
      </c>
      <c r="O13" t="s">
        <v>10</v>
      </c>
      <c r="P13">
        <v>45</v>
      </c>
      <c r="Q13" s="3">
        <f>IF(N13&gt;=0,ROUND(N13*1.4,1),ROUND(N13/1.4,1))</f>
        <v>-1.4</v>
      </c>
      <c r="R13" t="str">
        <f>_xlfn.XLOOKUP(SUBSTITUTE(Tabell_netto[[#This Row],[Namn]]," ","  "),Tabell_brutto[Namn],Tabell_brutto[Resultat],"")</f>
        <v>73</v>
      </c>
      <c r="S13" s="5">
        <f>Tabell_netto[[#This Row],[Resultat]]-Tabell_netto[[#This Row],[HHCP]]</f>
        <v>74.400000000000006</v>
      </c>
    </row>
    <row r="14" spans="1:19" x14ac:dyDescent="0.25">
      <c r="A14" s="2" t="s">
        <v>83</v>
      </c>
      <c r="B14" t="s">
        <v>45</v>
      </c>
      <c r="C14" t="s">
        <v>46</v>
      </c>
      <c r="D14" t="s">
        <v>18</v>
      </c>
      <c r="E14" t="s">
        <v>11</v>
      </c>
      <c r="F14" t="s">
        <v>47</v>
      </c>
      <c r="G14" t="s">
        <v>47</v>
      </c>
      <c r="H14" t="s">
        <v>31</v>
      </c>
      <c r="K14" t="s">
        <v>93</v>
      </c>
      <c r="L14" t="s">
        <v>35</v>
      </c>
      <c r="M14">
        <v>8.9</v>
      </c>
      <c r="N14">
        <v>7</v>
      </c>
      <c r="O14" t="s">
        <v>18</v>
      </c>
      <c r="P14">
        <v>45</v>
      </c>
      <c r="Q14" s="3">
        <f>IF(N14&gt;=0,ROUND(N14*1.4,1),ROUND(N14/1.4,1))</f>
        <v>9.8000000000000007</v>
      </c>
      <c r="R14" t="str">
        <f>_xlfn.XLOOKUP(SUBSTITUTE(Tabell_netto[[#This Row],[Namn]]," ","  "),Tabell_brutto[Namn],Tabell_brutto[Resultat],"")</f>
        <v>86</v>
      </c>
      <c r="S14" s="5">
        <f>Tabell_netto[[#This Row],[Resultat]]-Tabell_netto[[#This Row],[HHCP]]</f>
        <v>76.2</v>
      </c>
    </row>
    <row r="15" spans="1:19" x14ac:dyDescent="0.25">
      <c r="A15" s="2" t="s">
        <v>84</v>
      </c>
      <c r="B15" t="s">
        <v>48</v>
      </c>
      <c r="C15" t="s">
        <v>22</v>
      </c>
      <c r="D15" t="s">
        <v>18</v>
      </c>
      <c r="E15" t="s">
        <v>11</v>
      </c>
      <c r="F15" t="s">
        <v>47</v>
      </c>
      <c r="G15" t="s">
        <v>47</v>
      </c>
      <c r="K15" t="s">
        <v>94</v>
      </c>
      <c r="L15" t="s">
        <v>26</v>
      </c>
      <c r="M15">
        <v>13.2</v>
      </c>
      <c r="N15">
        <v>12</v>
      </c>
      <c r="O15" t="s">
        <v>18</v>
      </c>
      <c r="P15">
        <v>45</v>
      </c>
      <c r="Q15" s="3">
        <f>IF(N15&gt;=0,ROUND(N15*1.4,1),ROUND(N15/1.4,1))</f>
        <v>16.8</v>
      </c>
      <c r="R15" t="str">
        <f>_xlfn.XLOOKUP(SUBSTITUTE(Tabell_netto[[#This Row],[Namn]]," ","  "),Tabell_brutto[Namn],Tabell_brutto[Resultat],"")</f>
        <v>93</v>
      </c>
      <c r="S15" s="5">
        <f>Tabell_netto[[#This Row],[Resultat]]-Tabell_netto[[#This Row],[HHCP]]</f>
        <v>76.2</v>
      </c>
    </row>
    <row r="16" spans="1:19" x14ac:dyDescent="0.25">
      <c r="A16" s="2" t="s">
        <v>49</v>
      </c>
      <c r="B16" t="s">
        <v>50</v>
      </c>
      <c r="C16" t="s">
        <v>26</v>
      </c>
      <c r="D16" t="s">
        <v>18</v>
      </c>
      <c r="E16" t="s">
        <v>11</v>
      </c>
      <c r="F16" t="s">
        <v>51</v>
      </c>
      <c r="G16" t="s">
        <v>51</v>
      </c>
      <c r="K16" t="s">
        <v>100</v>
      </c>
      <c r="L16" t="s">
        <v>33</v>
      </c>
      <c r="M16">
        <v>8.4</v>
      </c>
      <c r="N16">
        <v>6</v>
      </c>
      <c r="O16" t="s">
        <v>18</v>
      </c>
      <c r="P16">
        <v>45</v>
      </c>
      <c r="Q16" s="3">
        <f>IF(N16&gt;=0,ROUND(N16*1.4,1),ROUND(N16/1.4,1))</f>
        <v>8.4</v>
      </c>
      <c r="R16" t="str">
        <f>_xlfn.XLOOKUP(SUBSTITUTE(Tabell_netto[[#This Row],[Namn]]," ","  "),Tabell_brutto[Namn],Tabell_brutto[Resultat],"")</f>
        <v>85</v>
      </c>
      <c r="S16" s="5">
        <f>Tabell_netto[[#This Row],[Resultat]]-Tabell_netto[[#This Row],[HHCP]]</f>
        <v>76.599999999999994</v>
      </c>
    </row>
    <row r="17" spans="1:19" x14ac:dyDescent="0.25">
      <c r="A17" s="2" t="s">
        <v>52</v>
      </c>
      <c r="B17" t="s">
        <v>53</v>
      </c>
      <c r="C17" t="s">
        <v>54</v>
      </c>
      <c r="D17" t="s">
        <v>18</v>
      </c>
      <c r="E17" t="s">
        <v>11</v>
      </c>
      <c r="F17" t="s">
        <v>55</v>
      </c>
      <c r="G17" t="s">
        <v>55</v>
      </c>
      <c r="K17" t="s">
        <v>103</v>
      </c>
      <c r="L17" t="s">
        <v>35</v>
      </c>
      <c r="M17">
        <v>9</v>
      </c>
      <c r="N17">
        <v>7</v>
      </c>
      <c r="O17" t="s">
        <v>18</v>
      </c>
      <c r="P17">
        <v>45</v>
      </c>
      <c r="Q17" s="3">
        <f>IF(N17&gt;=0,ROUND(N17*1.4,1),ROUND(N17/1.4,1))</f>
        <v>9.8000000000000007</v>
      </c>
      <c r="R17" t="str">
        <f>_xlfn.XLOOKUP(SUBSTITUTE(Tabell_netto[[#This Row],[Namn]]," ","  "),Tabell_brutto[Namn],Tabell_brutto[Resultat],"")</f>
        <v>89</v>
      </c>
      <c r="S17" s="5">
        <f>Tabell_netto[[#This Row],[Resultat]]-Tabell_netto[[#This Row],[HHCP]]</f>
        <v>79.2</v>
      </c>
    </row>
    <row r="18" spans="1:19" x14ac:dyDescent="0.25">
      <c r="A18" s="2" t="s">
        <v>56</v>
      </c>
      <c r="B18" t="s">
        <v>57</v>
      </c>
      <c r="C18" t="s">
        <v>22</v>
      </c>
      <c r="D18" t="s">
        <v>18</v>
      </c>
      <c r="E18" t="s">
        <v>11</v>
      </c>
      <c r="F18" t="s">
        <v>58</v>
      </c>
      <c r="G18" t="s">
        <v>58</v>
      </c>
      <c r="K18" t="s">
        <v>91</v>
      </c>
      <c r="L18" t="s">
        <v>22</v>
      </c>
      <c r="M18">
        <v>11.2</v>
      </c>
      <c r="N18">
        <v>9</v>
      </c>
      <c r="O18" t="s">
        <v>18</v>
      </c>
      <c r="P18">
        <v>45</v>
      </c>
      <c r="Q18" s="3">
        <f>IF(N18&gt;=0,ROUND(N18*1.4,1),ROUND(N18/1.4,1))</f>
        <v>12.6</v>
      </c>
      <c r="R18" t="str">
        <f>_xlfn.XLOOKUP(SUBSTITUTE(Tabell_netto[[#This Row],[Namn]]," ","  "),Tabell_brutto[Namn],Tabell_brutto[Resultat],"")</f>
        <v>92</v>
      </c>
      <c r="S18" s="5">
        <f>Tabell_netto[[#This Row],[Resultat]]-Tabell_netto[[#This Row],[HHCP]]</f>
        <v>79.400000000000006</v>
      </c>
    </row>
    <row r="19" spans="1:19" x14ac:dyDescent="0.25">
      <c r="A19" s="2" t="s">
        <v>59</v>
      </c>
      <c r="B19" t="s">
        <v>60</v>
      </c>
      <c r="C19" t="s">
        <v>33</v>
      </c>
      <c r="D19" t="s">
        <v>18</v>
      </c>
      <c r="E19" t="s">
        <v>11</v>
      </c>
      <c r="F19" t="s">
        <v>61</v>
      </c>
      <c r="G19" t="s">
        <v>61</v>
      </c>
      <c r="K19" t="s">
        <v>96</v>
      </c>
      <c r="L19" t="s">
        <v>46</v>
      </c>
      <c r="M19">
        <v>11.1</v>
      </c>
      <c r="N19">
        <v>9</v>
      </c>
      <c r="O19" t="s">
        <v>18</v>
      </c>
      <c r="P19">
        <v>45</v>
      </c>
      <c r="Q19" s="3">
        <f>IF(N19&gt;=0,ROUND(N19*1.4,1),ROUND(N19/1.4,1))</f>
        <v>12.6</v>
      </c>
      <c r="R19" t="str">
        <f>_xlfn.XLOOKUP(SUBSTITUTE(Tabell_netto[[#This Row],[Namn]]," ","  "),Tabell_brutto[Namn],Tabell_brutto[Resultat],"")</f>
        <v>92</v>
      </c>
      <c r="S19" s="5">
        <f>Tabell_netto[[#This Row],[Resultat]]-Tabell_netto[[#This Row],[HHCP]]</f>
        <v>79.400000000000006</v>
      </c>
    </row>
    <row r="20" spans="1:19" x14ac:dyDescent="0.25">
      <c r="A20" s="2" t="s">
        <v>62</v>
      </c>
      <c r="B20" t="s">
        <v>63</v>
      </c>
      <c r="C20" t="s">
        <v>26</v>
      </c>
      <c r="D20" t="s">
        <v>18</v>
      </c>
      <c r="E20" t="s">
        <v>11</v>
      </c>
      <c r="F20" t="s">
        <v>64</v>
      </c>
      <c r="G20" t="s">
        <v>64</v>
      </c>
      <c r="K20" t="s">
        <v>95</v>
      </c>
      <c r="L20" t="s">
        <v>54</v>
      </c>
      <c r="M20">
        <v>11.8</v>
      </c>
      <c r="N20">
        <v>10</v>
      </c>
      <c r="O20" t="s">
        <v>18</v>
      </c>
      <c r="P20">
        <v>45</v>
      </c>
      <c r="Q20" s="3">
        <f>IF(N20&gt;=0,ROUND(N20*1.4,1),ROUND(N20/1.4,1))</f>
        <v>14</v>
      </c>
      <c r="R20" t="str">
        <f>_xlfn.XLOOKUP(SUBSTITUTE(Tabell_netto[[#This Row],[Namn]]," ","  "),Tabell_brutto[Namn],Tabell_brutto[Resultat],"")</f>
        <v>94</v>
      </c>
      <c r="S20" s="5">
        <f>Tabell_netto[[#This Row],[Resultat]]-Tabell_netto[[#This Row],[HHCP]]</f>
        <v>80</v>
      </c>
    </row>
    <row r="21" spans="1:19" x14ac:dyDescent="0.25">
      <c r="A21" s="2" t="s">
        <v>65</v>
      </c>
      <c r="B21" t="s">
        <v>66</v>
      </c>
      <c r="C21" t="s">
        <v>67</v>
      </c>
      <c r="D21" t="s">
        <v>18</v>
      </c>
      <c r="E21" t="s">
        <v>11</v>
      </c>
      <c r="F21" t="s">
        <v>68</v>
      </c>
      <c r="G21" t="s">
        <v>68</v>
      </c>
      <c r="K21" t="s">
        <v>107</v>
      </c>
      <c r="L21" t="s">
        <v>26</v>
      </c>
      <c r="M21">
        <v>16.399999999999999</v>
      </c>
      <c r="N21">
        <v>20</v>
      </c>
      <c r="O21" t="s">
        <v>18</v>
      </c>
      <c r="P21">
        <v>42</v>
      </c>
      <c r="Q21" s="3">
        <f>IF(N21&gt;=0,ROUND(N21*1.4,1),ROUND(N21/1.4,1))</f>
        <v>28</v>
      </c>
      <c r="R21" t="str">
        <f>_xlfn.XLOOKUP(SUBSTITUTE(Tabell_netto[[#This Row],[Namn]]," ","  "),Tabell_brutto[Namn],Tabell_brutto[Resultat],"")</f>
        <v>110</v>
      </c>
      <c r="S21" s="5">
        <f>Tabell_netto[[#This Row],[Resultat]]-Tabell_netto[[#This Row],[HHCP]]</f>
        <v>82</v>
      </c>
    </row>
    <row r="22" spans="1:19" x14ac:dyDescent="0.25">
      <c r="A22" s="2" t="s">
        <v>69</v>
      </c>
      <c r="B22" t="s">
        <v>70</v>
      </c>
      <c r="C22" t="s">
        <v>71</v>
      </c>
      <c r="D22" t="s">
        <v>18</v>
      </c>
      <c r="E22" t="s">
        <v>11</v>
      </c>
      <c r="F22" t="s">
        <v>72</v>
      </c>
      <c r="G22" t="s">
        <v>72</v>
      </c>
      <c r="K22" t="s">
        <v>106</v>
      </c>
      <c r="L22" t="s">
        <v>33</v>
      </c>
      <c r="M22">
        <v>15.2</v>
      </c>
      <c r="N22">
        <v>14</v>
      </c>
      <c r="O22" t="s">
        <v>18</v>
      </c>
      <c r="P22">
        <v>45</v>
      </c>
      <c r="Q22" s="3">
        <f>IF(N22&gt;=0,ROUND(N22*1.4,1),ROUND(N22/1.4,1))</f>
        <v>19.600000000000001</v>
      </c>
      <c r="R22" t="str">
        <f>_xlfn.XLOOKUP(SUBSTITUTE(Tabell_netto[[#This Row],[Namn]]," ","  "),Tabell_brutto[Namn],Tabell_brutto[Resultat],"")</f>
        <v>108</v>
      </c>
      <c r="S22" s="5">
        <f>Tabell_netto[[#This Row],[Resultat]]-Tabell_netto[[#This Row],[HHCP]]</f>
        <v>88.4</v>
      </c>
    </row>
    <row r="23" spans="1:19" x14ac:dyDescent="0.25">
      <c r="A23" s="2" t="s">
        <v>73</v>
      </c>
      <c r="B23" t="s">
        <v>74</v>
      </c>
      <c r="C23" t="s">
        <v>75</v>
      </c>
      <c r="D23" t="s">
        <v>18</v>
      </c>
      <c r="E23" t="s">
        <v>11</v>
      </c>
      <c r="F23" t="s">
        <v>76</v>
      </c>
      <c r="G23" t="s">
        <v>76</v>
      </c>
      <c r="K23" t="s">
        <v>108</v>
      </c>
      <c r="L23" t="s">
        <v>75</v>
      </c>
      <c r="M23">
        <v>13.8</v>
      </c>
      <c r="N23">
        <v>12</v>
      </c>
      <c r="O23" t="s">
        <v>18</v>
      </c>
      <c r="P23">
        <v>45</v>
      </c>
      <c r="Q23" s="4">
        <f>IF(N23&gt;=0,ROUND(N23*1.4,1),ROUND(N23/1.4,1))</f>
        <v>16.8</v>
      </c>
      <c r="R23" t="str">
        <f>_xlfn.XLOOKUP(SUBSTITUTE(Tabell_netto[[#This Row],[Namn]]," ","  "),Tabell_brutto[Namn],Tabell_brutto[Resultat],"")</f>
        <v>130</v>
      </c>
      <c r="S23" s="5">
        <f>Tabell_netto[[#This Row],[Resultat]]-Tabell_netto[[#This Row],[HHCP]]</f>
        <v>113.2</v>
      </c>
    </row>
  </sheetData>
  <phoneticPr fontId="2" type="noConversion"/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Liljegren</dc:creator>
  <cp:lastModifiedBy>Eva Liljegren</cp:lastModifiedBy>
  <dcterms:created xsi:type="dcterms:W3CDTF">2026-07-22T20:06:24Z</dcterms:created>
  <dcterms:modified xsi:type="dcterms:W3CDTF">2026-07-22T20:51:36Z</dcterms:modified>
</cp:coreProperties>
</file>